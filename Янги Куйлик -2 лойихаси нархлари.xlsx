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580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<sst xmlns="http://schemas.openxmlformats.org/spreadsheetml/2006/main" count="73" uniqueCount="31">
  <si>
    <t xml:space="preserve">1-хоналига 29 млн., 2-хоналига 39 млн, 3-хоналига 69 млн сум тулаб уй харид килганга уйлар нархи </t>
  </si>
  <si>
    <t>1-тўлов тури</t>
  </si>
  <si>
    <t>№</t>
  </si>
  <si>
    <t>Кв.м</t>
  </si>
  <si>
    <t>Хоналар сони</t>
  </si>
  <si>
    <t>1 кв.м нархи (2-3-4-қаватларда) (сўм)</t>
  </si>
  <si>
    <t>1 кв.м нархи (5-6-7-8-қаватларда) (сўм)</t>
  </si>
  <si>
    <t>1 кв.м нархи (9-10-11-12-қаватларда) (сўм)</t>
  </si>
  <si>
    <t>Уйнинг умумий  нархи (2-3-4-қаватларда) (сўм)</t>
  </si>
  <si>
    <t>Уйнинг умумий  нархи  (5-6-7-8-қаватларда) (сўм)</t>
  </si>
  <si>
    <t>Уйнинг умумий  нархи (9-10-11-12-қаватларда) (сўм)</t>
  </si>
  <si>
    <t>Бошланғич тўлов суммаси  (сўм)</t>
  </si>
  <si>
    <t>Ойлик тўлов суммаси (сўм)</t>
  </si>
  <si>
    <t>Бўлиб тўлаш муддати (ой)</t>
  </si>
  <si>
    <t>30 ой давомида ойлик тўланган сумма</t>
  </si>
  <si>
    <t>31 ой тўлаб берилади қолдиқ маблағ  (2-3-4-қаватларда) (сўм)</t>
  </si>
  <si>
    <t>31 ой тўлаб берилади қолдиқ маблағ  (5-6-7-8-қаватларда) (сўм)</t>
  </si>
  <si>
    <t>31 ой тўлаб берилади қолдиқ маблағ  (9-10-11-12-қаватларда) (сўм)</t>
  </si>
  <si>
    <t>30% бош тўлов қилиб уй харид қилганга 10% чегирмада уйларни нархи</t>
  </si>
  <si>
    <t>2-тўлов тури</t>
  </si>
  <si>
    <t>Бошланғич тўлов суммаси   (2-3-4-қаватларда) (сўм)</t>
  </si>
  <si>
    <t>Бошланғич тўлов суммаси  (5-6-7-8-қаватларда) (сўм)</t>
  </si>
  <si>
    <t>Бошланғич тўлов суммаси  (9-10-11-12-қаватларда) (сўм)</t>
  </si>
  <si>
    <t>50% бош тўлов қилиб уй харид қилганга 15% чегирмада уйларни нархи</t>
  </si>
  <si>
    <t>3-тўлов тури</t>
  </si>
  <si>
    <t>100% тўлов қилиб уй харид қилганга 33% чегирмада уйлар нархи</t>
  </si>
  <si>
    <t>4-тўлов тури</t>
  </si>
  <si>
    <t>Бошланғич тўлов суммаси (сўм)</t>
  </si>
  <si>
    <t>Қолдиқ кадастр вакти тўланади (2-3-4-қаватларда) (сўм)</t>
  </si>
  <si>
    <t>Қолдиқ кадастр вакти тўланади  (5-6-7-8-қаватларда) (сўм)</t>
  </si>
  <si>
    <t>Қолдиқ кадастр вакти тўланади  (9-10-11-12-қаватларда) (сўм)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</si>
</sst>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11" applyNumberFormat="0" applyAlignment="0" applyProtection="0">
      <alignment vertical="center"/>
    </xf>
    <xf numFmtId="0" fontId="10" fillId="4" borderId="12" applyNumberFormat="0" applyAlignment="0" applyProtection="0">
      <alignment vertical="center"/>
    </xf>
    <xf numFmtId="0" fontId="11" fillId="4" borderId="11" applyNumberFormat="0" applyAlignment="0" applyProtection="0">
      <alignment vertical="center"/>
    </xf>
    <xf numFmtId="0" fontId="12" fillId="5" borderId="13" applyNumberFormat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4" fontId="0" fillId="0" borderId="5" xfId="0" applyNumberForma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3" fontId="0" fillId="0" borderId="5" xfId="1" applyBorder="1" applyAlignment="1">
      <alignment horizontal="center" vertical="center" wrapText="1"/>
    </xf>
    <xf numFmtId="43" fontId="0" fillId="0" borderId="5" xfId="1" applyBorder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1"/>
  <sheetViews>
    <sheetView tabSelected="1" zoomScale="85" zoomScaleNormal="85" workbookViewId="0">
      <selection activeCell="M44" sqref="M44"/>
    </sheetView>
  </sheetViews>
  <sheetFormatPr defaultColWidth="15" defaultRowHeight="15"/>
  <cols>
    <col min="1" max="1" width="10" style="1" customWidth="1"/>
    <col min="2" max="2" width="8.14285714285714" style="1" customWidth="1"/>
    <col min="3" max="3" width="5.14285714285714" style="1" customWidth="1"/>
    <col min="4" max="4" width="13.5714285714286" style="1" customWidth="1"/>
    <col min="5" max="5" width="18.8571428571429" style="1" customWidth="1"/>
    <col min="6" max="6" width="20.4285714285714" style="1" customWidth="1"/>
    <col min="7" max="7" width="21.2857142857143" style="1" customWidth="1"/>
    <col min="8" max="8" width="23.7142857142857" style="1" customWidth="1"/>
    <col min="9" max="9" width="18.7142857142857" style="1" customWidth="1"/>
    <col min="10" max="10" width="19.2857142857143" style="1" customWidth="1"/>
    <col min="11" max="11" width="18" style="1" customWidth="1"/>
    <col min="12" max="12" width="17.1428571428571" style="1" customWidth="1"/>
    <col min="13" max="13" width="17.5714285714286" style="1" customWidth="1"/>
    <col min="14" max="14" width="15.7142857142857" style="1" customWidth="1"/>
    <col min="15" max="19" width="17" style="1" customWidth="1"/>
    <col min="20" max="16384" width="15" style="1"/>
  </cols>
  <sheetData>
    <row r="1" spans="1:19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ht="75" spans="1:19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  <c r="O2" s="6" t="s">
        <v>15</v>
      </c>
      <c r="P2" s="6" t="s">
        <v>16</v>
      </c>
      <c r="Q2" s="6" t="s">
        <v>17</v>
      </c>
    </row>
    <row r="3" spans="1:19">
      <c r="A3" s="7"/>
      <c r="B3" s="6">
        <v>1</v>
      </c>
      <c r="C3" s="6">
        <v>41</v>
      </c>
      <c r="D3" s="6">
        <v>1</v>
      </c>
      <c r="E3" s="8">
        <v>11250000</v>
      </c>
      <c r="F3" s="8">
        <v>10750000</v>
      </c>
      <c r="G3" s="8">
        <v>10250000</v>
      </c>
      <c r="H3" s="8">
        <v>461250000</v>
      </c>
      <c r="I3" s="8">
        <v>440750000</v>
      </c>
      <c r="J3" s="8">
        <v>420250000</v>
      </c>
      <c r="K3" s="8">
        <v>29000000</v>
      </c>
      <c r="L3" s="8">
        <v>4000000</v>
      </c>
      <c r="M3" s="6">
        <v>30</v>
      </c>
      <c r="N3" s="8">
        <v>120000000</v>
      </c>
      <c r="O3" s="8">
        <f t="shared" ref="O3:O8" si="0">H3-K3-N3</f>
        <v>312250000</v>
      </c>
      <c r="P3" s="8">
        <f t="shared" ref="P3:P8" si="1">I3-K3-N3</f>
        <v>291750000</v>
      </c>
      <c r="Q3" s="8">
        <f t="shared" ref="Q3:Q8" si="2">J3-K3-N3</f>
        <v>271250000</v>
      </c>
    </row>
    <row r="4" spans="1:19">
      <c r="A4" s="7"/>
      <c r="B4" s="6">
        <v>2</v>
      </c>
      <c r="C4" s="6">
        <v>43</v>
      </c>
      <c r="D4" s="6">
        <v>1</v>
      </c>
      <c r="E4" s="8">
        <v>11250000</v>
      </c>
      <c r="F4" s="8">
        <v>10750000</v>
      </c>
      <c r="G4" s="8">
        <v>10250000</v>
      </c>
      <c r="H4" s="8">
        <v>483750000</v>
      </c>
      <c r="I4" s="8">
        <v>462250000</v>
      </c>
      <c r="J4" s="8">
        <v>440750000</v>
      </c>
      <c r="K4" s="8">
        <v>29000000</v>
      </c>
      <c r="L4" s="8">
        <v>4000000</v>
      </c>
      <c r="M4" s="6">
        <v>30</v>
      </c>
      <c r="N4" s="8">
        <v>120000000</v>
      </c>
      <c r="O4" s="8">
        <f t="shared" si="0"/>
        <v>334750000</v>
      </c>
      <c r="P4" s="8">
        <f t="shared" si="1"/>
        <v>313250000</v>
      </c>
      <c r="Q4" s="8">
        <f t="shared" si="2"/>
        <v>291750000</v>
      </c>
    </row>
    <row r="5" spans="1:19">
      <c r="A5" s="7"/>
      <c r="B5" s="6">
        <v>3</v>
      </c>
      <c r="C5" s="6">
        <v>54</v>
      </c>
      <c r="D5" s="6">
        <v>2</v>
      </c>
      <c r="E5" s="8">
        <v>10750000</v>
      </c>
      <c r="F5" s="8">
        <v>10250000</v>
      </c>
      <c r="G5" s="8">
        <v>9750000</v>
      </c>
      <c r="H5" s="8">
        <v>580500000</v>
      </c>
      <c r="I5" s="8">
        <v>553500000</v>
      </c>
      <c r="J5" s="8">
        <v>526500000</v>
      </c>
      <c r="K5" s="8">
        <v>39000000</v>
      </c>
      <c r="L5" s="8">
        <v>5000000</v>
      </c>
      <c r="M5" s="6">
        <v>30</v>
      </c>
      <c r="N5" s="8">
        <v>150000000</v>
      </c>
      <c r="O5" s="8">
        <f t="shared" si="0"/>
        <v>391500000</v>
      </c>
      <c r="P5" s="8">
        <f t="shared" si="1"/>
        <v>364500000</v>
      </c>
      <c r="Q5" s="8">
        <f t="shared" si="2"/>
        <v>337500000</v>
      </c>
    </row>
    <row r="6" spans="1:19">
      <c r="A6" s="7"/>
      <c r="B6" s="6">
        <v>4</v>
      </c>
      <c r="C6" s="6">
        <v>55</v>
      </c>
      <c r="D6" s="6">
        <v>2</v>
      </c>
      <c r="E6" s="8">
        <v>10750000</v>
      </c>
      <c r="F6" s="8">
        <v>10250000</v>
      </c>
      <c r="G6" s="8">
        <v>9750000</v>
      </c>
      <c r="H6" s="8">
        <v>591250000</v>
      </c>
      <c r="I6" s="8">
        <v>563750000</v>
      </c>
      <c r="J6" s="8">
        <v>536250000</v>
      </c>
      <c r="K6" s="8">
        <v>39000000</v>
      </c>
      <c r="L6" s="8">
        <v>5000000</v>
      </c>
      <c r="M6" s="6">
        <v>30</v>
      </c>
      <c r="N6" s="8">
        <v>150000000</v>
      </c>
      <c r="O6" s="8">
        <f t="shared" si="0"/>
        <v>402250000</v>
      </c>
      <c r="P6" s="8">
        <f t="shared" si="1"/>
        <v>374750000</v>
      </c>
      <c r="Q6" s="8">
        <f t="shared" si="2"/>
        <v>347250000</v>
      </c>
    </row>
    <row r="7" spans="1:19">
      <c r="A7" s="7"/>
      <c r="B7" s="6">
        <v>5</v>
      </c>
      <c r="C7" s="6">
        <v>70</v>
      </c>
      <c r="D7" s="6">
        <v>3</v>
      </c>
      <c r="E7" s="8">
        <v>10250000</v>
      </c>
      <c r="F7" s="8">
        <v>9750000</v>
      </c>
      <c r="G7" s="8">
        <v>9250000</v>
      </c>
      <c r="H7" s="8">
        <v>717500000</v>
      </c>
      <c r="I7" s="8">
        <v>682500000</v>
      </c>
      <c r="J7" s="8">
        <v>647500000</v>
      </c>
      <c r="K7" s="8">
        <v>69000000</v>
      </c>
      <c r="L7" s="8">
        <v>6000000</v>
      </c>
      <c r="M7" s="6">
        <v>30</v>
      </c>
      <c r="N7" s="8">
        <v>180000000</v>
      </c>
      <c r="O7" s="8">
        <f t="shared" si="0"/>
        <v>468500000</v>
      </c>
      <c r="P7" s="8">
        <f t="shared" si="1"/>
        <v>433500000</v>
      </c>
      <c r="Q7" s="8">
        <f t="shared" si="2"/>
        <v>398500000</v>
      </c>
    </row>
    <row r="8" spans="1:19">
      <c r="A8" s="9"/>
      <c r="B8" s="6">
        <v>6</v>
      </c>
      <c r="C8" s="6">
        <v>77</v>
      </c>
      <c r="D8" s="6">
        <v>3</v>
      </c>
      <c r="E8" s="8">
        <v>10250000</v>
      </c>
      <c r="F8" s="8">
        <v>9750000</v>
      </c>
      <c r="G8" s="8">
        <v>9250000</v>
      </c>
      <c r="H8" s="8">
        <v>789250000</v>
      </c>
      <c r="I8" s="8">
        <v>750750000</v>
      </c>
      <c r="J8" s="8">
        <v>712250000</v>
      </c>
      <c r="K8" s="8">
        <v>69000000</v>
      </c>
      <c r="L8" s="8">
        <v>6000000</v>
      </c>
      <c r="M8" s="6">
        <v>30</v>
      </c>
      <c r="N8" s="8">
        <v>180000000</v>
      </c>
      <c r="O8" s="8">
        <f t="shared" si="0"/>
        <v>540250000</v>
      </c>
      <c r="P8" s="8">
        <f t="shared" si="1"/>
        <v>501750000</v>
      </c>
      <c r="Q8" s="8">
        <f t="shared" si="2"/>
        <v>463250000</v>
      </c>
    </row>
    <row r="13" spans="1:19">
      <c r="A13" s="2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4"/>
    </row>
    <row r="14" ht="75" spans="1:19">
      <c r="A14" s="5" t="s">
        <v>19</v>
      </c>
      <c r="B14" s="6" t="s">
        <v>2</v>
      </c>
      <c r="C14" s="6" t="s">
        <v>3</v>
      </c>
      <c r="D14" s="6" t="s">
        <v>4</v>
      </c>
      <c r="E14" s="6" t="s">
        <v>5</v>
      </c>
      <c r="F14" s="6" t="s">
        <v>6</v>
      </c>
      <c r="G14" s="6" t="s">
        <v>7</v>
      </c>
      <c r="H14" s="6" t="s">
        <v>8</v>
      </c>
      <c r="I14" s="6" t="s">
        <v>9</v>
      </c>
      <c r="J14" s="6" t="s">
        <v>10</v>
      </c>
      <c r="K14" s="6" t="s">
        <v>20</v>
      </c>
      <c r="L14" s="6" t="s">
        <v>21</v>
      </c>
      <c r="M14" s="6" t="s">
        <v>22</v>
      </c>
      <c r="N14" s="6" t="s">
        <v>12</v>
      </c>
      <c r="O14" s="6" t="s">
        <v>13</v>
      </c>
      <c r="P14" s="6" t="s">
        <v>14</v>
      </c>
      <c r="Q14" s="6" t="s">
        <v>15</v>
      </c>
      <c r="R14" s="6" t="s">
        <v>16</v>
      </c>
      <c r="S14" s="6" t="s">
        <v>17</v>
      </c>
    </row>
    <row r="15" spans="1:19">
      <c r="A15" s="7"/>
      <c r="B15" s="6">
        <v>1</v>
      </c>
      <c r="C15" s="6">
        <v>41</v>
      </c>
      <c r="D15" s="6">
        <v>1</v>
      </c>
      <c r="E15" s="8">
        <v>10125000</v>
      </c>
      <c r="F15" s="8">
        <v>9675000</v>
      </c>
      <c r="G15" s="8">
        <v>9225000</v>
      </c>
      <c r="H15" s="8">
        <v>415125000</v>
      </c>
      <c r="I15" s="8">
        <v>396675000</v>
      </c>
      <c r="J15" s="8">
        <v>378225000</v>
      </c>
      <c r="K15" s="8">
        <v>124537500</v>
      </c>
      <c r="L15" s="8">
        <v>119002500</v>
      </c>
      <c r="M15" s="8">
        <v>113467500</v>
      </c>
      <c r="N15" s="8">
        <v>4000000</v>
      </c>
      <c r="O15" s="6">
        <v>30</v>
      </c>
      <c r="P15" s="8">
        <v>120000000</v>
      </c>
      <c r="Q15" s="8">
        <v>170587500</v>
      </c>
      <c r="R15" s="8">
        <v>157672500</v>
      </c>
      <c r="S15" s="8">
        <v>144757500</v>
      </c>
    </row>
    <row r="16" spans="1:19">
      <c r="A16" s="7"/>
      <c r="B16" s="6">
        <v>2</v>
      </c>
      <c r="C16" s="6">
        <v>43</v>
      </c>
      <c r="D16" s="6">
        <v>1</v>
      </c>
      <c r="E16" s="8">
        <v>11250000</v>
      </c>
      <c r="F16" s="8">
        <v>10750000</v>
      </c>
      <c r="G16" s="8">
        <v>10250000</v>
      </c>
      <c r="H16" s="8">
        <v>483750000</v>
      </c>
      <c r="I16" s="8">
        <v>462250000</v>
      </c>
      <c r="J16" s="8">
        <v>440750000</v>
      </c>
      <c r="K16" s="8">
        <v>145125000</v>
      </c>
      <c r="L16" s="8">
        <v>138675000</v>
      </c>
      <c r="M16" s="8">
        <v>132225000</v>
      </c>
      <c r="N16" s="8">
        <v>4000000</v>
      </c>
      <c r="O16" s="6">
        <v>30</v>
      </c>
      <c r="P16" s="8">
        <v>120000000</v>
      </c>
      <c r="Q16" s="8">
        <v>218625000</v>
      </c>
      <c r="R16" s="8">
        <v>203575000</v>
      </c>
      <c r="S16" s="8">
        <v>188525000</v>
      </c>
    </row>
    <row r="17" spans="1:19">
      <c r="A17" s="7"/>
      <c r="B17" s="6">
        <v>3</v>
      </c>
      <c r="C17" s="6">
        <v>49</v>
      </c>
      <c r="D17" s="6">
        <v>1</v>
      </c>
      <c r="E17" s="8">
        <v>10125000</v>
      </c>
      <c r="F17" s="8">
        <v>9675000</v>
      </c>
      <c r="G17" s="8">
        <v>9225000</v>
      </c>
      <c r="H17" s="8">
        <v>496125000</v>
      </c>
      <c r="I17" s="8">
        <v>474075000</v>
      </c>
      <c r="J17" s="8">
        <v>452025000</v>
      </c>
      <c r="K17" s="8">
        <v>148837500</v>
      </c>
      <c r="L17" s="8">
        <v>142222500</v>
      </c>
      <c r="M17" s="8">
        <v>135607500</v>
      </c>
      <c r="N17" s="8">
        <v>4000000</v>
      </c>
      <c r="O17" s="6">
        <v>30</v>
      </c>
      <c r="P17" s="8">
        <v>120000000</v>
      </c>
      <c r="Q17" s="8">
        <v>227287500</v>
      </c>
      <c r="R17" s="8">
        <v>211852500</v>
      </c>
      <c r="S17" s="8">
        <v>196417500</v>
      </c>
    </row>
    <row r="18" spans="1:19">
      <c r="A18" s="7"/>
      <c r="B18" s="6">
        <v>4</v>
      </c>
      <c r="C18" s="6">
        <v>54</v>
      </c>
      <c r="D18" s="6">
        <v>2</v>
      </c>
      <c r="E18" s="8">
        <v>9675000</v>
      </c>
      <c r="F18" s="8">
        <v>9225000</v>
      </c>
      <c r="G18" s="8">
        <v>8775000</v>
      </c>
      <c r="H18" s="8">
        <v>522450000</v>
      </c>
      <c r="I18" s="8">
        <v>498150000</v>
      </c>
      <c r="J18" s="8">
        <v>473850000</v>
      </c>
      <c r="K18" s="8">
        <v>156735000</v>
      </c>
      <c r="L18" s="8">
        <v>149445000</v>
      </c>
      <c r="M18" s="8">
        <v>142155000</v>
      </c>
      <c r="N18" s="8">
        <v>5000000</v>
      </c>
      <c r="O18" s="6">
        <v>30</v>
      </c>
      <c r="P18" s="8">
        <v>150000000</v>
      </c>
      <c r="Q18" s="8">
        <v>215715000</v>
      </c>
      <c r="R18" s="8">
        <v>198705000</v>
      </c>
      <c r="S18" s="8">
        <v>181695000</v>
      </c>
    </row>
    <row r="19" spans="1:19">
      <c r="A19" s="7"/>
      <c r="B19" s="6">
        <v>5</v>
      </c>
      <c r="C19" s="6">
        <v>55</v>
      </c>
      <c r="D19" s="6">
        <v>2</v>
      </c>
      <c r="E19" s="8">
        <v>9675000</v>
      </c>
      <c r="F19" s="8">
        <v>9225000</v>
      </c>
      <c r="G19" s="8">
        <v>8775000</v>
      </c>
      <c r="H19" s="8">
        <v>532125000</v>
      </c>
      <c r="I19" s="8">
        <v>507375000</v>
      </c>
      <c r="J19" s="8">
        <v>482625000</v>
      </c>
      <c r="K19" s="8">
        <v>159637500</v>
      </c>
      <c r="L19" s="8">
        <v>152212500</v>
      </c>
      <c r="M19" s="8">
        <v>144787500</v>
      </c>
      <c r="N19" s="8">
        <v>5000000</v>
      </c>
      <c r="O19" s="6">
        <v>30</v>
      </c>
      <c r="P19" s="8">
        <v>150000000</v>
      </c>
      <c r="Q19" s="8">
        <v>222487500</v>
      </c>
      <c r="R19" s="8">
        <v>205162500</v>
      </c>
      <c r="S19" s="8">
        <v>187837500</v>
      </c>
    </row>
    <row r="20" spans="1:19">
      <c r="A20" s="7"/>
      <c r="B20" s="6">
        <v>6</v>
      </c>
      <c r="C20" s="6">
        <v>70</v>
      </c>
      <c r="D20" s="6">
        <v>3</v>
      </c>
      <c r="E20" s="8">
        <v>9225000</v>
      </c>
      <c r="F20" s="8">
        <v>8775000</v>
      </c>
      <c r="G20" s="8">
        <v>8325000</v>
      </c>
      <c r="H20" s="8">
        <v>645750000</v>
      </c>
      <c r="I20" s="8">
        <v>614250000</v>
      </c>
      <c r="J20" s="8">
        <v>582750000</v>
      </c>
      <c r="K20" s="8">
        <v>193725000</v>
      </c>
      <c r="L20" s="8">
        <v>184275000</v>
      </c>
      <c r="M20" s="8">
        <v>174825000</v>
      </c>
      <c r="N20" s="8">
        <v>6000000</v>
      </c>
      <c r="O20" s="6">
        <v>30</v>
      </c>
      <c r="P20" s="8">
        <v>180000000</v>
      </c>
      <c r="Q20" s="8">
        <v>272025000</v>
      </c>
      <c r="R20" s="8">
        <v>249975000</v>
      </c>
      <c r="S20" s="8">
        <v>227925000</v>
      </c>
    </row>
    <row r="21" spans="1:19">
      <c r="A21" s="9"/>
      <c r="B21" s="6">
        <v>7</v>
      </c>
      <c r="C21" s="6">
        <v>77</v>
      </c>
      <c r="D21" s="6">
        <v>3</v>
      </c>
      <c r="E21" s="8">
        <v>9225000</v>
      </c>
      <c r="F21" s="8">
        <v>8775000</v>
      </c>
      <c r="G21" s="8">
        <v>8325000</v>
      </c>
      <c r="H21" s="8">
        <v>710325000</v>
      </c>
      <c r="I21" s="8">
        <v>675675000</v>
      </c>
      <c r="J21" s="8">
        <v>641025000</v>
      </c>
      <c r="K21" s="8">
        <v>213097500</v>
      </c>
      <c r="L21" s="8">
        <v>202702500</v>
      </c>
      <c r="M21" s="8">
        <v>192307500</v>
      </c>
      <c r="N21" s="8">
        <v>6000000</v>
      </c>
      <c r="O21" s="6">
        <v>30</v>
      </c>
      <c r="P21" s="8">
        <v>180000000</v>
      </c>
      <c r="Q21" s="8">
        <v>317227500</v>
      </c>
      <c r="R21" s="8">
        <v>292972500</v>
      </c>
      <c r="S21" s="8">
        <v>268717500</v>
      </c>
    </row>
    <row r="26" spans="1:19">
      <c r="A26" s="6" t="s">
        <v>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ht="75" spans="1:19">
      <c r="A27" s="5" t="s">
        <v>24</v>
      </c>
      <c r="B27" s="6" t="s">
        <v>2</v>
      </c>
      <c r="C27" s="6" t="s">
        <v>3</v>
      </c>
      <c r="D27" s="6" t="s">
        <v>4</v>
      </c>
      <c r="E27" s="6" t="s">
        <v>5</v>
      </c>
      <c r="F27" s="6" t="s">
        <v>6</v>
      </c>
      <c r="G27" s="6" t="s">
        <v>7</v>
      </c>
      <c r="H27" s="6" t="s">
        <v>8</v>
      </c>
      <c r="I27" s="6" t="s">
        <v>9</v>
      </c>
      <c r="J27" s="6" t="s">
        <v>10</v>
      </c>
      <c r="K27" s="6" t="s">
        <v>20</v>
      </c>
      <c r="L27" s="6" t="s">
        <v>21</v>
      </c>
      <c r="M27" s="6" t="s">
        <v>22</v>
      </c>
      <c r="N27" s="6" t="s">
        <v>12</v>
      </c>
      <c r="O27" s="6" t="s">
        <v>13</v>
      </c>
      <c r="P27" s="6" t="s">
        <v>14</v>
      </c>
      <c r="Q27" s="6" t="s">
        <v>15</v>
      </c>
      <c r="R27" s="6" t="s">
        <v>16</v>
      </c>
      <c r="S27" s="6" t="s">
        <v>17</v>
      </c>
    </row>
    <row r="28" spans="1:19">
      <c r="A28" s="7"/>
      <c r="B28" s="6">
        <v>1</v>
      </c>
      <c r="C28" s="6">
        <v>41</v>
      </c>
      <c r="D28" s="6">
        <v>1</v>
      </c>
      <c r="E28" s="8">
        <v>9562500</v>
      </c>
      <c r="F28" s="8">
        <v>9137500</v>
      </c>
      <c r="G28" s="8">
        <v>8712500</v>
      </c>
      <c r="H28" s="8">
        <v>392062500</v>
      </c>
      <c r="I28" s="8">
        <v>374637500</v>
      </c>
      <c r="J28" s="8">
        <v>357212500</v>
      </c>
      <c r="K28" s="8">
        <v>196031250</v>
      </c>
      <c r="L28" s="8">
        <v>187318750</v>
      </c>
      <c r="M28" s="8">
        <v>178606250</v>
      </c>
      <c r="N28" s="8">
        <v>4000000</v>
      </c>
      <c r="O28" s="6">
        <v>30</v>
      </c>
      <c r="P28" s="8">
        <v>120000000</v>
      </c>
      <c r="Q28" s="8">
        <v>76031250</v>
      </c>
      <c r="R28" s="8">
        <v>67318750</v>
      </c>
      <c r="S28" s="8">
        <v>58606250</v>
      </c>
    </row>
    <row r="29" spans="1:19">
      <c r="A29" s="7"/>
      <c r="B29" s="6">
        <v>2</v>
      </c>
      <c r="C29" s="6">
        <v>39</v>
      </c>
      <c r="D29" s="6">
        <v>1</v>
      </c>
      <c r="E29" s="8">
        <v>9562500</v>
      </c>
      <c r="F29" s="8">
        <v>9137500</v>
      </c>
      <c r="G29" s="8">
        <v>8712500</v>
      </c>
      <c r="H29" s="8">
        <v>372937500</v>
      </c>
      <c r="I29" s="8">
        <v>356362500</v>
      </c>
      <c r="J29" s="8">
        <v>339787500</v>
      </c>
      <c r="K29" s="8">
        <v>186468750</v>
      </c>
      <c r="L29" s="8">
        <v>178181250</v>
      </c>
      <c r="M29" s="8">
        <v>169893750</v>
      </c>
      <c r="N29" s="8">
        <v>4000000</v>
      </c>
      <c r="O29" s="6">
        <v>30</v>
      </c>
      <c r="P29" s="8">
        <v>120000000</v>
      </c>
      <c r="Q29" s="8">
        <v>66468750</v>
      </c>
      <c r="R29" s="8">
        <v>58181250</v>
      </c>
      <c r="S29" s="8">
        <v>49893750</v>
      </c>
    </row>
    <row r="30" spans="1:19">
      <c r="A30" s="7"/>
      <c r="B30" s="6">
        <v>3</v>
      </c>
      <c r="C30" s="6">
        <v>49</v>
      </c>
      <c r="D30" s="6">
        <v>1</v>
      </c>
      <c r="E30" s="8">
        <v>9562500</v>
      </c>
      <c r="F30" s="8">
        <v>9137500</v>
      </c>
      <c r="G30" s="8">
        <v>8712500</v>
      </c>
      <c r="H30" s="8">
        <v>468562500</v>
      </c>
      <c r="I30" s="8">
        <v>447737500</v>
      </c>
      <c r="J30" s="8">
        <v>426912500</v>
      </c>
      <c r="K30" s="8">
        <v>234281250</v>
      </c>
      <c r="L30" s="8">
        <v>223868750</v>
      </c>
      <c r="M30" s="8">
        <v>213456250</v>
      </c>
      <c r="N30" s="8">
        <v>4000000</v>
      </c>
      <c r="O30" s="6">
        <v>30</v>
      </c>
      <c r="P30" s="8">
        <v>120000000</v>
      </c>
      <c r="Q30" s="8">
        <v>114281250</v>
      </c>
      <c r="R30" s="8">
        <v>103868750</v>
      </c>
      <c r="S30" s="8">
        <v>93456250</v>
      </c>
    </row>
    <row r="31" spans="1:19">
      <c r="A31" s="7"/>
      <c r="B31" s="6">
        <v>4</v>
      </c>
      <c r="C31" s="6">
        <v>54</v>
      </c>
      <c r="D31" s="6">
        <v>2</v>
      </c>
      <c r="E31" s="8">
        <v>9137500</v>
      </c>
      <c r="F31" s="8">
        <v>8712500</v>
      </c>
      <c r="G31" s="8">
        <v>8287500</v>
      </c>
      <c r="H31" s="8">
        <v>493425000</v>
      </c>
      <c r="I31" s="8">
        <v>470475000</v>
      </c>
      <c r="J31" s="8">
        <v>447525000</v>
      </c>
      <c r="K31" s="8">
        <v>246712500</v>
      </c>
      <c r="L31" s="8">
        <v>235237500</v>
      </c>
      <c r="M31" s="8">
        <v>223762500</v>
      </c>
      <c r="N31" s="8">
        <v>5000000</v>
      </c>
      <c r="O31" s="6">
        <v>30</v>
      </c>
      <c r="P31" s="8">
        <v>150000000</v>
      </c>
      <c r="Q31" s="8">
        <v>96712500</v>
      </c>
      <c r="R31" s="8">
        <v>85237500</v>
      </c>
      <c r="S31" s="8">
        <v>73762500</v>
      </c>
    </row>
    <row r="32" spans="1:19">
      <c r="A32" s="7"/>
      <c r="B32" s="6">
        <v>5</v>
      </c>
      <c r="C32" s="6">
        <v>55</v>
      </c>
      <c r="D32" s="6">
        <v>2</v>
      </c>
      <c r="E32" s="8">
        <v>9137500</v>
      </c>
      <c r="F32" s="8">
        <v>8712500</v>
      </c>
      <c r="G32" s="8">
        <v>8287500</v>
      </c>
      <c r="H32" s="8">
        <v>502562500</v>
      </c>
      <c r="I32" s="8">
        <v>479187500</v>
      </c>
      <c r="J32" s="8">
        <v>455812500</v>
      </c>
      <c r="K32" s="8">
        <v>251281250</v>
      </c>
      <c r="L32" s="8">
        <v>239593750</v>
      </c>
      <c r="M32" s="8">
        <v>227906250</v>
      </c>
      <c r="N32" s="8">
        <v>5000000</v>
      </c>
      <c r="O32" s="6">
        <v>30</v>
      </c>
      <c r="P32" s="8">
        <v>150000000</v>
      </c>
      <c r="Q32" s="8">
        <v>101281250</v>
      </c>
      <c r="R32" s="8">
        <v>89593750</v>
      </c>
      <c r="S32" s="8">
        <v>77906250</v>
      </c>
    </row>
    <row r="33" spans="1:19">
      <c r="A33" s="7"/>
      <c r="B33" s="6">
        <v>6</v>
      </c>
      <c r="C33" s="6">
        <v>70</v>
      </c>
      <c r="D33" s="6">
        <v>3</v>
      </c>
      <c r="E33" s="8">
        <v>8712500</v>
      </c>
      <c r="F33" s="8">
        <v>8287500</v>
      </c>
      <c r="G33" s="8">
        <v>7862500</v>
      </c>
      <c r="H33" s="8">
        <v>609875000</v>
      </c>
      <c r="I33" s="8">
        <v>580125000</v>
      </c>
      <c r="J33" s="8">
        <v>550375000</v>
      </c>
      <c r="K33" s="8">
        <v>304937500</v>
      </c>
      <c r="L33" s="8">
        <v>290062500</v>
      </c>
      <c r="M33" s="8">
        <v>275187500</v>
      </c>
      <c r="N33" s="8">
        <v>6000000</v>
      </c>
      <c r="O33" s="6">
        <v>30</v>
      </c>
      <c r="P33" s="8">
        <v>180000000</v>
      </c>
      <c r="Q33" s="8">
        <v>124937500</v>
      </c>
      <c r="R33" s="8">
        <v>110062500</v>
      </c>
      <c r="S33" s="8">
        <v>95187500</v>
      </c>
    </row>
    <row r="34" spans="1:19">
      <c r="A34" s="9"/>
      <c r="B34" s="6">
        <v>7</v>
      </c>
      <c r="C34" s="6">
        <v>77</v>
      </c>
      <c r="D34" s="6">
        <v>3</v>
      </c>
      <c r="E34" s="8">
        <v>8712500</v>
      </c>
      <c r="F34" s="8">
        <v>8287500</v>
      </c>
      <c r="G34" s="8">
        <v>7862500</v>
      </c>
      <c r="H34" s="8">
        <v>670862500</v>
      </c>
      <c r="I34" s="8">
        <v>638137500</v>
      </c>
      <c r="J34" s="8">
        <v>605412500</v>
      </c>
      <c r="K34" s="8">
        <v>335431250</v>
      </c>
      <c r="L34" s="8">
        <v>319068750</v>
      </c>
      <c r="M34" s="8">
        <v>302706250</v>
      </c>
      <c r="N34" s="8">
        <v>6000000</v>
      </c>
      <c r="O34" s="6">
        <v>30</v>
      </c>
      <c r="P34" s="8">
        <v>180000000</v>
      </c>
      <c r="Q34" s="8">
        <v>155431250</v>
      </c>
      <c r="R34" s="8">
        <v>139068750</v>
      </c>
      <c r="S34" s="8">
        <v>122706250</v>
      </c>
    </row>
    <row r="39" spans="1:19">
      <c r="A39" s="10" t="s">
        <v>25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ht="75" spans="1:19">
      <c r="A40" s="6" t="s">
        <v>26</v>
      </c>
      <c r="B40" s="6" t="s">
        <v>2</v>
      </c>
      <c r="C40" s="6" t="s">
        <v>3</v>
      </c>
      <c r="D40" s="6" t="s">
        <v>4</v>
      </c>
      <c r="E40" s="6" t="s">
        <v>5</v>
      </c>
      <c r="F40" s="6" t="s">
        <v>6</v>
      </c>
      <c r="G40" s="6" t="s">
        <v>7</v>
      </c>
      <c r="H40" s="6" t="s">
        <v>8</v>
      </c>
      <c r="I40" s="6" t="s">
        <v>9</v>
      </c>
      <c r="J40" s="6" t="s">
        <v>10</v>
      </c>
      <c r="K40" s="6" t="s">
        <v>27</v>
      </c>
      <c r="L40" s="6" t="s">
        <v>28</v>
      </c>
      <c r="M40" s="6" t="s">
        <v>29</v>
      </c>
      <c r="N40" s="6" t="s">
        <v>30</v>
      </c>
    </row>
    <row r="41" spans="1:19">
      <c r="A41" s="6"/>
      <c r="B41" s="6">
        <v>1</v>
      </c>
      <c r="C41" s="6">
        <v>22</v>
      </c>
      <c r="D41" s="6">
        <v>1</v>
      </c>
      <c r="E41" s="8">
        <v>7537500</v>
      </c>
      <c r="F41" s="8">
        <v>7202500</v>
      </c>
      <c r="G41" s="8">
        <v>6662500</v>
      </c>
      <c r="H41" s="8">
        <v>165825000</v>
      </c>
      <c r="I41" s="8">
        <v>158455000</v>
      </c>
      <c r="J41" s="8">
        <f>C41*G41</f>
        <v>146575000</v>
      </c>
      <c r="K41" s="11">
        <v>146575000</v>
      </c>
      <c r="L41" s="12">
        <f>H41-K41</f>
        <v>19250000</v>
      </c>
      <c r="M41" s="12">
        <f>I41-K41</f>
        <v>11880000</v>
      </c>
      <c r="N41" s="12">
        <f>J41-K41</f>
        <v>0</v>
      </c>
    </row>
    <row r="42" spans="1:19">
      <c r="A42" s="6"/>
      <c r="B42" s="6">
        <v>2</v>
      </c>
      <c r="C42" s="6">
        <v>25</v>
      </c>
      <c r="D42" s="6">
        <v>1</v>
      </c>
      <c r="E42" s="8">
        <v>7537500</v>
      </c>
      <c r="F42" s="8">
        <v>7202500</v>
      </c>
      <c r="G42" s="8">
        <v>6867500</v>
      </c>
      <c r="H42" s="8">
        <v>188437500</v>
      </c>
      <c r="I42" s="8">
        <v>180062500</v>
      </c>
      <c r="J42" s="8">
        <v>171687500</v>
      </c>
      <c r="K42" s="11">
        <v>146575000</v>
      </c>
      <c r="L42" s="12">
        <f>H42-K42</f>
        <v>41862500</v>
      </c>
      <c r="M42" s="12">
        <f>I42-K42</f>
        <v>33487500</v>
      </c>
      <c r="N42" s="12">
        <f>J42-K42</f>
        <v>25112500</v>
      </c>
    </row>
    <row r="43" spans="1:19">
      <c r="A43" s="6"/>
      <c r="B43" s="6">
        <v>3</v>
      </c>
      <c r="C43" s="6">
        <v>34</v>
      </c>
      <c r="D43" s="6">
        <v>1</v>
      </c>
      <c r="E43" s="8">
        <v>7537500</v>
      </c>
      <c r="F43" s="8">
        <v>7202500</v>
      </c>
      <c r="G43" s="8">
        <v>6867500</v>
      </c>
      <c r="H43" s="8">
        <v>256275000</v>
      </c>
      <c r="I43" s="8">
        <v>244885000</v>
      </c>
      <c r="J43" s="8">
        <v>233495000</v>
      </c>
      <c r="K43" s="11">
        <v>177000000</v>
      </c>
      <c r="L43" s="12">
        <f>H43-K43</f>
        <v>79275000</v>
      </c>
      <c r="M43" s="12">
        <f>I43-K43</f>
        <v>67885000</v>
      </c>
      <c r="N43" s="12">
        <f>J43-K43</f>
        <v>56495000</v>
      </c>
    </row>
    <row r="44" spans="1:19">
      <c r="A44" s="6"/>
      <c r="B44" s="6">
        <v>4</v>
      </c>
      <c r="C44" s="6">
        <v>39</v>
      </c>
      <c r="D44" s="6">
        <v>1</v>
      </c>
      <c r="E44" s="8">
        <v>7537500</v>
      </c>
      <c r="F44" s="8">
        <v>7202500</v>
      </c>
      <c r="G44" s="8">
        <v>6867500</v>
      </c>
      <c r="H44" s="8">
        <v>309037500</v>
      </c>
      <c r="I44" s="8">
        <v>295302500</v>
      </c>
      <c r="J44" s="8">
        <v>281567500</v>
      </c>
      <c r="K44" s="11">
        <v>177000000</v>
      </c>
      <c r="L44" s="12">
        <f>H44-K44</f>
        <v>132037500</v>
      </c>
      <c r="M44" s="12">
        <f>I44-K44</f>
        <v>118302500</v>
      </c>
      <c r="N44" s="12">
        <f>J44-K44</f>
        <v>104567500</v>
      </c>
    </row>
    <row r="45" spans="1:19">
      <c r="A45" s="6"/>
      <c r="B45" s="6">
        <v>5</v>
      </c>
      <c r="C45" s="6">
        <v>41</v>
      </c>
      <c r="D45" s="6">
        <v>1</v>
      </c>
      <c r="E45" s="8">
        <v>7537500</v>
      </c>
      <c r="F45" s="8">
        <v>7202500</v>
      </c>
      <c r="G45" s="8">
        <v>6867500</v>
      </c>
      <c r="H45" s="8">
        <v>293962500</v>
      </c>
      <c r="I45" s="8">
        <v>280897500</v>
      </c>
      <c r="J45" s="8">
        <v>267832500</v>
      </c>
    </row>
    <row r="46" spans="1:19">
      <c r="A46" s="6"/>
      <c r="B46" s="6">
        <v>6</v>
      </c>
      <c r="C46" s="6">
        <v>43</v>
      </c>
      <c r="D46" s="6">
        <v>1</v>
      </c>
      <c r="E46" s="8">
        <v>7537500</v>
      </c>
      <c r="F46" s="8">
        <v>7202500</v>
      </c>
      <c r="G46" s="8">
        <v>6867500</v>
      </c>
      <c r="H46" s="8">
        <v>293962500</v>
      </c>
      <c r="I46" s="8">
        <v>280897500</v>
      </c>
      <c r="J46" s="8">
        <v>267832500</v>
      </c>
    </row>
    <row r="47" spans="1:19">
      <c r="A47" s="6"/>
      <c r="B47" s="6">
        <v>7</v>
      </c>
      <c r="C47" s="6">
        <v>49</v>
      </c>
      <c r="D47" s="6">
        <v>1</v>
      </c>
      <c r="E47" s="8">
        <v>7537500</v>
      </c>
      <c r="F47" s="8">
        <v>7202500</v>
      </c>
      <c r="G47" s="8">
        <v>6867500</v>
      </c>
      <c r="H47" s="8">
        <v>369337500</v>
      </c>
      <c r="I47" s="8">
        <v>352922500</v>
      </c>
      <c r="J47" s="8">
        <v>336507500</v>
      </c>
    </row>
    <row r="48" spans="1:19">
      <c r="A48" s="6"/>
      <c r="B48" s="6">
        <v>8</v>
      </c>
      <c r="C48" s="6">
        <v>54</v>
      </c>
      <c r="D48" s="6">
        <v>2</v>
      </c>
      <c r="E48" s="8">
        <v>7202500</v>
      </c>
      <c r="F48" s="8">
        <v>6867500</v>
      </c>
      <c r="G48" s="8">
        <v>6532500</v>
      </c>
      <c r="H48" s="8">
        <v>388935000</v>
      </c>
      <c r="I48" s="8">
        <v>370845000</v>
      </c>
      <c r="J48" s="8">
        <v>352755000</v>
      </c>
    </row>
    <row r="49" spans="1:10">
      <c r="A49" s="6"/>
      <c r="B49" s="6">
        <v>9</v>
      </c>
      <c r="C49" s="6">
        <v>55</v>
      </c>
      <c r="D49" s="6">
        <v>2</v>
      </c>
      <c r="E49" s="8">
        <v>7202500</v>
      </c>
      <c r="F49" s="8">
        <v>6867500</v>
      </c>
      <c r="G49" s="8">
        <v>6532500</v>
      </c>
      <c r="H49" s="8">
        <v>396137500</v>
      </c>
      <c r="I49" s="8">
        <v>377712500</v>
      </c>
      <c r="J49" s="8">
        <v>359287500</v>
      </c>
    </row>
    <row r="50" spans="1:10">
      <c r="A50" s="6"/>
      <c r="B50" s="6">
        <v>10</v>
      </c>
      <c r="C50" s="6">
        <v>70</v>
      </c>
      <c r="D50" s="6">
        <v>3</v>
      </c>
      <c r="E50" s="8">
        <v>6867500</v>
      </c>
      <c r="F50" s="8">
        <v>6532500</v>
      </c>
      <c r="G50" s="8">
        <v>6197500</v>
      </c>
      <c r="H50" s="8">
        <v>480725000</v>
      </c>
      <c r="I50" s="8">
        <v>457275000</v>
      </c>
      <c r="J50" s="8">
        <v>433825000</v>
      </c>
    </row>
    <row r="51" spans="1:10">
      <c r="A51" s="6"/>
      <c r="B51" s="6">
        <v>11</v>
      </c>
      <c r="C51" s="6">
        <v>77</v>
      </c>
      <c r="D51" s="6">
        <v>3</v>
      </c>
      <c r="E51" s="8">
        <v>6867500</v>
      </c>
      <c r="F51" s="8">
        <v>6532500</v>
      </c>
      <c r="G51" s="8">
        <v>6197500</v>
      </c>
      <c r="H51" s="8">
        <v>528797500</v>
      </c>
      <c r="I51" s="8">
        <v>503002500</v>
      </c>
      <c r="J51" s="8">
        <v>477207500</v>
      </c>
    </row>
  </sheetData>
  <mergeCells count="8">
    <mergeCell ref="A1:Q1"/>
    <mergeCell ref="A13:S13"/>
    <mergeCell ref="A26:S26"/>
    <mergeCell ref="A39:N39"/>
    <mergeCell ref="A2:A8"/>
    <mergeCell ref="A14:A21"/>
    <mergeCell ref="A27:A34"/>
    <mergeCell ref="A40:A51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Alisher Sultanov</cp:lastModifiedBy>
  <dcterms:created xsi:type="dcterms:W3CDTF">2026-09-30T06:55:00Z</dcterms:created>
  <dcterms:modified xsi:type="dcterms:W3CDTF">2026-10-16T17:35:37Z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5FF1938E96014D419438AAF03C327F0F_13</vt:lpwstr>
  </property>
  <property fmtid="{D5CDD505-2E9C-101B-9397-08002B2CF9AE}" pid="3" name="KSOProductBuildVer">
    <vt:lpwstr>1049-12.1.0.29162</vt:lpwstr>
  </property>
  <property fmtid="{D5CDD505-2E9C-101B-9397-08002B2CF9AE}" pid="4" name="CalculationRule">
    <vt:i4>0</vt:i4>
  </property>
</Properties>
</file>